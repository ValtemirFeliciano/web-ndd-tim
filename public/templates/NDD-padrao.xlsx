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11B20F03-54F9-4833-846C-A5D32A384878}" xr6:coauthVersionLast="47" xr6:coauthVersionMax="47" xr10:uidLastSave="{00000000-0000-0000-0000-000000000000}"/>
  <bookViews>
    <workbookView xWindow="29265" yWindow="1905" windowWidth="21600" windowHeight="11235" xr2:uid="{00000000-000D-0000-FFFF-FFFF00000000}"/>
  </bookViews>
  <sheets>
    <sheet name="NDD" sheetId="176" r:id="rId1"/>
  </sheets>
  <definedNames>
    <definedName name="_xlnm.Print_Area" localSheetId="0">NDD!$A1:$S77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76" l="1"/>
  <c r="E51" i="176"/>
  <c r="E50" i="176"/>
  <c r="K39" i="176"/>
  <c r="K37" i="176"/>
  <c r="K42" i="176" s="1"/>
  <c r="G37" i="176"/>
  <c r="G42" i="176" s="1"/>
  <c r="U2" i="176" a="1"/>
  <c r="U2" i="176" s="1"/>
  <c r="U3" i="176" s="1"/>
  <c r="U4" i="176" s="1"/>
  <c r="K38" i="176" l="1"/>
  <c r="G38" i="176"/>
  <c r="G39" i="176"/>
</calcChain>
</file>

<file path=xl/sharedStrings.xml><?xml version="1.0" encoding="utf-8"?>
<sst xmlns="http://schemas.openxmlformats.org/spreadsheetml/2006/main" count="132" uniqueCount="100">
  <si>
    <t>LOGO DETENTOR</t>
  </si>
  <si>
    <t>NOTIFICAÇÃO DE DISPONIBILIZAÇÃO (NDD)</t>
  </si>
  <si>
    <t>DATA DA EMISSÃO:</t>
  </si>
  <si>
    <t>DATA DO RFI:</t>
  </si>
  <si>
    <t>INFORMAÇÕES DA INFRAESTRUTURA</t>
  </si>
  <si>
    <t xml:space="preserve">SITE ID CLIENTE: </t>
  </si>
  <si>
    <t>END ID CLIENTE:</t>
  </si>
  <si>
    <t>SITE ID/Nº DETENTOR:</t>
  </si>
  <si>
    <t>Nº PROTOCOLO SCI: N/A</t>
  </si>
  <si>
    <t>TECNOLOGIA:</t>
  </si>
  <si>
    <t>4G</t>
  </si>
  <si>
    <t xml:space="preserve">LATITUDE (S): </t>
  </si>
  <si>
    <t xml:space="preserve">LONGITUDE (W): </t>
  </si>
  <si>
    <t xml:space="preserve">ALTITUDE (m): </t>
  </si>
  <si>
    <t>N/A</t>
  </si>
  <si>
    <t>ENDEREÇO DO SITE:</t>
  </si>
  <si>
    <t>BAIRRO:</t>
  </si>
  <si>
    <t>CIDADE:</t>
  </si>
  <si>
    <r>
      <t>CEP:</t>
    </r>
    <r>
      <rPr>
        <sz val="10"/>
        <color rgb="FF000000"/>
        <rFont val="Calibri"/>
        <family val="2"/>
        <scheme val="minor"/>
      </rPr>
      <t xml:space="preserve"> </t>
    </r>
  </si>
  <si>
    <t>UF:</t>
  </si>
  <si>
    <t>ALTURA DA EV (m):</t>
  </si>
  <si>
    <t xml:space="preserve">FAIXA VERTICAL CONTRATADA (m):      </t>
  </si>
  <si>
    <t>FAIXA VERTICAL UTILIZADA (m):</t>
  </si>
  <si>
    <t xml:space="preserve">TIPO DE SOLICITAÇÃO: </t>
  </si>
  <si>
    <t xml:space="preserve">( X ) </t>
  </si>
  <si>
    <t>NEW SITE</t>
  </si>
  <si>
    <t xml:space="preserve">    (   ) </t>
  </si>
  <si>
    <t>AMPLIAÇÃO</t>
  </si>
  <si>
    <t xml:space="preserve">(   )  </t>
  </si>
  <si>
    <t>REDUÇÃO</t>
  </si>
  <si>
    <t xml:space="preserve">OUTROS: </t>
  </si>
  <si>
    <t>____________________</t>
  </si>
  <si>
    <t>TIPO DE INFRA:</t>
  </si>
  <si>
    <t xml:space="preserve">( x ) </t>
  </si>
  <si>
    <t>GF</t>
  </si>
  <si>
    <t xml:space="preserve">(   ) </t>
  </si>
  <si>
    <t>RT</t>
  </si>
  <si>
    <t>SC</t>
  </si>
  <si>
    <t>IND</t>
  </si>
  <si>
    <t>BIOSITE</t>
  </si>
  <si>
    <r>
      <t>MODALIDADE:</t>
    </r>
    <r>
      <rPr>
        <sz val="10"/>
        <color rgb="FF000000"/>
        <rFont val="Calibri"/>
        <family val="2"/>
        <scheme val="minor"/>
      </rPr>
      <t xml:space="preserve"> </t>
    </r>
  </si>
  <si>
    <t>( X  )</t>
  </si>
  <si>
    <t>BTSu</t>
  </si>
  <si>
    <t>COMPARTILHADO</t>
  </si>
  <si>
    <t>(   )</t>
  </si>
  <si>
    <t>INDOOR</t>
  </si>
  <si>
    <r>
      <t>OUTROS:</t>
    </r>
    <r>
      <rPr>
        <sz val="10"/>
        <color rgb="FF000000"/>
        <rFont val="Calibri"/>
        <family val="2"/>
        <scheme val="minor"/>
      </rPr>
      <t xml:space="preserve"> </t>
    </r>
  </si>
  <si>
    <t>TABELA DE CARREGAMENTO</t>
  </si>
  <si>
    <t>CONFIGURAÇÕES DE EQUIPAMENTOS NA EV</t>
  </si>
  <si>
    <t>INFORMAÇÕES DE ANTENAS / RRU´S / TMA´S / ODU´S</t>
  </si>
  <si>
    <t>OPERADORA</t>
  </si>
  <si>
    <t>TIPO DE SOLICITAÇÃO</t>
  </si>
  <si>
    <t>TIPO DE EQUIPAMENTO</t>
  </si>
  <si>
    <t>FABRICANTE</t>
  </si>
  <si>
    <t>MODELO</t>
  </si>
  <si>
    <t>QTDE</t>
  </si>
  <si>
    <t>AZIMUTE</t>
  </si>
  <si>
    <t>ALTURA (L)</t>
  </si>
  <si>
    <t>LARGURA  (W)</t>
  </si>
  <si>
    <t>PROFUNDIDADE (D)</t>
  </si>
  <si>
    <t>RAD CENTER</t>
  </si>
  <si>
    <t>DIÂMETRO DOS CABOS (mm)</t>
  </si>
  <si>
    <t>QTDE DE CABOS</t>
  </si>
  <si>
    <t>AEV S/ CA (m²)</t>
  </si>
  <si>
    <t>CA</t>
  </si>
  <si>
    <t>AEV C/ CA (m²)</t>
  </si>
  <si>
    <t>OBSERVAÇÕES</t>
  </si>
  <si>
    <t>RESUMO DE EQUIPAMENTOS NA EV</t>
  </si>
  <si>
    <t>SEM Coeficiente de Arrasto</t>
  </si>
  <si>
    <t>COM Coeficiente de Arrasto</t>
  </si>
  <si>
    <t>AEV Total Atual (m²):</t>
  </si>
  <si>
    <t>AEV Reserva (m²):</t>
  </si>
  <si>
    <t>AEV Total a Instalar (m²):</t>
  </si>
  <si>
    <t>AEV Total a Retirar (m²):</t>
  </si>
  <si>
    <t>AEV Excedente (m²):</t>
  </si>
  <si>
    <t>AEV FINAL (m²):</t>
  </si>
  <si>
    <t>INFORMAÇÕES DE BTS / SHELTER / CONTAINER</t>
  </si>
  <si>
    <t>ÁREA PARA INSTALAÇÃO (m x m)</t>
  </si>
  <si>
    <t>PESO TOTAL DOS EQUIPAMENTOS (kg)</t>
  </si>
  <si>
    <t>NOVA</t>
  </si>
  <si>
    <t>GABINETE</t>
  </si>
  <si>
    <t>VSAT</t>
  </si>
  <si>
    <t>N / A</t>
  </si>
  <si>
    <t>RESUMO DE EQUIPAMENTOS NO SOLO</t>
  </si>
  <si>
    <t>SOLO Total Atual (m²):</t>
  </si>
  <si>
    <t>SOLO Reserva (m²):</t>
  </si>
  <si>
    <t>SOLO Total a Instalar (m²):</t>
  </si>
  <si>
    <t>SOLO Total a Retirar (m²):</t>
  </si>
  <si>
    <t>SOLO Excedente (m²):</t>
  </si>
  <si>
    <t>SOLO FINAL (m²):</t>
  </si>
  <si>
    <t xml:space="preserve">               Nesta data, o detentor disponibiliza a Tim, o site acima mencionado com a conclusão das obras necessárias à instalação dos Equipamentos do Cliente, nos termos do Contrato firmado pelas partes.</t>
  </si>
  <si>
    <t>ASSINATURAS</t>
  </si>
  <si>
    <t>DETENTOR</t>
  </si>
  <si>
    <t>_______________________________</t>
  </si>
  <si>
    <t>Pela Detentora</t>
  </si>
  <si>
    <t>Cargo:</t>
  </si>
  <si>
    <t>CLIENTE</t>
  </si>
  <si>
    <t>Pela TIM</t>
  </si>
  <si>
    <t>Data da Assinatura TIM:</t>
  </si>
  <si>
    <t>Data da Assinatura Detentora: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</si>
</sst>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6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4" fillId="0" borderId="16" xfId="0" applyFont="1" applyBorder="1" applyAlignment="1">
      <alignment horizontal="right" vertical="center"/>
    </xf>
    <xf numFmtId="14" fontId="4" fillId="0" borderId="16" xfId="0" applyNumberFormat="1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6" xfId="0" applyFont="1" applyBorder="1"/>
    <xf numFmtId="0" fontId="5" fillId="0" borderId="17" xfId="0" applyFont="1" applyBorder="1"/>
    <xf numFmtId="0" fontId="5" fillId="0" borderId="20" xfId="0" applyFont="1" applyBorder="1"/>
    <xf numFmtId="0" fontId="5" fillId="0" borderId="21" xfId="0" applyFont="1" applyBorder="1"/>
    <xf numFmtId="0" fontId="7" fillId="0" borderId="16" xfId="0" applyFont="1" applyBorder="1" applyAlignment="1">
      <alignment horizontal="left"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4" fillId="0" borderId="27" xfId="0" applyFont="1" applyBorder="1"/>
    <xf numFmtId="0" fontId="4" fillId="0" borderId="29" xfId="0" applyFont="1" applyBorder="1"/>
    <xf numFmtId="0" fontId="7" fillId="0" borderId="16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vertical="center"/>
    </xf>
    <xf numFmtId="0" fontId="0" fillId="0" borderId="16" xfId="0" applyBorder="1"/>
    <xf numFmtId="0" fontId="7" fillId="0" borderId="31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9" fillId="5" borderId="35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64" fontId="10" fillId="0" borderId="36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8" fillId="0" borderId="0" xfId="0" applyFont="1" applyAlignment="1">
      <alignment vertical="center"/>
    </xf>
    <xf numFmtId="0" fontId="0" fillId="0" borderId="7" xfId="0" applyBorder="1"/>
    <xf numFmtId="0" fontId="8" fillId="0" borderId="13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0" fillId="0" borderId="14" xfId="0" applyBorder="1"/>
    <xf numFmtId="0" fontId="15" fillId="5" borderId="37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9" xfId="0" applyBorder="1"/>
    <xf numFmtId="0" fontId="0" fillId="0" borderId="6" xfId="0" applyBorder="1"/>
    <xf numFmtId="0" fontId="19" fillId="6" borderId="0" xfId="0" applyFont="1" applyFill="1"/>
    <xf numFmtId="0" fontId="20" fillId="6" borderId="0" xfId="0" applyFont="1" applyFill="1"/>
    <xf numFmtId="0" fontId="5" fillId="0" borderId="38" xfId="0" applyFont="1" applyBorder="1" applyAlignment="1">
      <alignment horizontal="center" vertical="center"/>
    </xf>
    <xf numFmtId="0" fontId="0" fillId="0" borderId="29" xfId="0" applyBorder="1"/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0" xfId="0" applyFont="1" applyBorder="1" applyAlignment="1">
      <alignment vertical="center"/>
    </xf>
    <xf numFmtId="0" fontId="0" fillId="0" borderId="11" xfId="0" applyBorder="1"/>
    <xf numFmtId="0" fontId="0" fillId="0" borderId="31" xfId="0" applyBorder="1"/>
    <xf numFmtId="0" fontId="0" fillId="0" borderId="20" xfId="0" applyBorder="1"/>
    <xf numFmtId="0" fontId="0" fillId="0" borderId="21" xfId="0" applyBorder="1"/>
    <xf numFmtId="0" fontId="5" fillId="0" borderId="0" xfId="0" applyFont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1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8" fillId="0" borderId="2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8" fillId="0" borderId="2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49" fontId="7" fillId="0" borderId="26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5" fillId="0" borderId="16" xfId="0" applyFont="1" applyBorder="1" applyAlignment="1">
      <alignment horizontal="left"/>
    </xf>
    <xf numFmtId="0" fontId="4" fillId="0" borderId="18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5" fillId="0" borderId="19" xfId="0" applyFont="1" applyBorder="1" applyAlignment="1">
      <alignment horizontal="left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6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/>
    </xf>
    <xf numFmtId="0" fontId="2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285750</xdr:colOff>
      <xdr:row>1</xdr:row>
      <xdr:rowOff>85725</xdr:rowOff>
    </xdr:from>
    <xdr:to>
      <xdr:col>18</xdr:col>
      <xdr:colOff>688794</xdr:colOff>
      <xdr:row>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1</xdr:row>
      <xdr:rowOff>110317</xdr:rowOff>
    </xdr:from>
    <xdr:to>
      <xdr:col>2</xdr:col>
      <xdr:colOff>666750</xdr:colOff>
      <xdr:row>4</xdr:row>
      <xdr:rowOff>50752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7"/>
  <sheetViews>
    <sheetView showGridLines="0" tabSelected="1" view="pageBreakPreview" topLeftCell="A27" zoomScaleNormal="115" workbookViewId="0">
      <selection activeCell="J69" sqref="J69"/>
    </sheetView>
  </sheetViews>
  <sheetFormatPr defaultRowHeight="14.45" customHeight="1" x14ac:dyDescent="0.25"/>
  <cols>
    <col min="1" max="1" width="9.85546875" customWidth="1"/>
    <col min="2" max="2" width="12.85546875" customWidth="1"/>
    <col min="3" max="3" width="11.140625" customWidth="1"/>
    <col min="4" max="4" width="14.85546875" customWidth="1"/>
    <col min="5" max="5" width="24.5703125" customWidth="1"/>
    <col min="6" max="6" width="3.5703125" customWidth="1"/>
    <col min="7" max="7" width="5.5703125" customWidth="1"/>
    <col min="8" max="8" width="11.140625" customWidth="1"/>
    <col min="9" max="9" width="24.5703125" customWidth="1"/>
    <col min="10" max="10" width="7" customWidth="1"/>
    <col min="11" max="11" width="12.140625" customWidth="1"/>
    <col min="12" max="12" width="7.5703125" customWidth="1"/>
    <col min="13" max="13" width="8.5703125" customWidth="1"/>
    <col min="14" max="14" width="7.5703125" customWidth="1"/>
    <col min="15" max="15" width="9.140625" customWidth="1"/>
    <col min="16" max="16" width="13.140625" customWidth="1"/>
    <col min="17" max="17" width="8.85546875" customWidth="1"/>
    <col min="18" max="18" width="7.42578125" customWidth="1"/>
    <col min="19" max="19" width="14.140625" customWidth="1"/>
    <col min="20" max="20" width="9.7109375" customWidth="1"/>
    <col min="21" max="21" width="22" customWidth="1"/>
  </cols>
  <sheetData>
    <row r="1" spans="1:21" ht="15" customHeight="1" x14ac:dyDescent="0.25"/>
    <row r="2" spans="1:21" ht="15" customHeight="1" x14ac:dyDescent="0.25">
      <c r="A2" s="173" t="s">
        <v>0</v>
      </c>
      <c r="B2" s="174"/>
      <c r="C2" s="174"/>
      <c r="D2" s="179" t="s">
        <v>1</v>
      </c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80"/>
      <c r="Q2" s="185"/>
      <c r="R2" s="186"/>
      <c r="S2" s="187"/>
      <c r="U2" t="str">
        <f t="array" aca="1" ref="U2" ca="1">CELL("nome.arquivo")</f>
        <v>C:\Users\ValtemirJunior\Downloads\NDD - Forge\public\templates\[NDD-padrao.xlsx]NDD</v>
      </c>
    </row>
    <row r="3" spans="1:21" ht="15" customHeight="1" x14ac:dyDescent="0.25">
      <c r="A3" s="175"/>
      <c r="B3" s="176"/>
      <c r="C3" s="176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2"/>
      <c r="Q3" s="188"/>
      <c r="R3" s="189"/>
      <c r="S3" s="190"/>
      <c r="U3" t="e">
        <f ca="1">MID(U2,FIND("WINITY_",U2)+7,FIND("_MT",U2)-FIND("WINITY_",U2)-7)</f>
        <v>#VALUE!</v>
      </c>
    </row>
    <row r="4" spans="1:21" ht="15" customHeight="1" x14ac:dyDescent="0.25">
      <c r="A4" s="175"/>
      <c r="B4" s="176"/>
      <c r="C4" s="176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2"/>
      <c r="Q4" s="188"/>
      <c r="R4" s="189"/>
      <c r="S4" s="190"/>
      <c r="U4" t="e">
        <f ca="1">TRIM(U3)</f>
        <v>#VALUE!</v>
      </c>
    </row>
    <row r="5" spans="1:21" ht="15" customHeight="1" x14ac:dyDescent="0.25">
      <c r="A5" s="177"/>
      <c r="B5" s="178"/>
      <c r="C5" s="178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4"/>
      <c r="Q5" s="191"/>
      <c r="R5" s="192"/>
      <c r="S5" s="193"/>
    </row>
    <row r="6" spans="1:21" ht="18.75" customHeight="1" x14ac:dyDescent="0.25">
      <c r="A6" s="194" t="s">
        <v>2</v>
      </c>
      <c r="B6" s="195"/>
      <c r="C6" s="195"/>
      <c r="D6" s="2"/>
      <c r="E6" s="3"/>
      <c r="F6" s="196"/>
      <c r="G6" s="196"/>
      <c r="H6" s="196"/>
      <c r="I6" s="196"/>
      <c r="J6" s="196"/>
      <c r="K6" s="4"/>
      <c r="L6" s="4"/>
      <c r="M6" s="4"/>
      <c r="N6" s="4"/>
      <c r="O6" s="4"/>
      <c r="P6" s="4"/>
      <c r="Q6" s="4"/>
      <c r="R6" s="4"/>
      <c r="S6" s="5"/>
    </row>
    <row r="7" spans="1:21" ht="18.75" customHeight="1" x14ac:dyDescent="0.25">
      <c r="A7" s="197" t="s">
        <v>3</v>
      </c>
      <c r="B7" s="198"/>
      <c r="C7" s="198"/>
      <c r="D7" s="2"/>
      <c r="E7" s="3"/>
      <c r="F7" s="199"/>
      <c r="G7" s="199"/>
      <c r="H7" s="199"/>
      <c r="I7" s="199"/>
      <c r="J7" s="199"/>
      <c r="K7" s="6"/>
      <c r="L7" s="6"/>
      <c r="M7" s="6"/>
      <c r="N7" s="6"/>
      <c r="O7" s="6"/>
      <c r="P7" s="6"/>
      <c r="Q7" s="6"/>
      <c r="R7" s="6"/>
      <c r="S7" s="7"/>
    </row>
    <row r="8" spans="1:21" ht="15.6" customHeight="1" x14ac:dyDescent="0.25">
      <c r="A8" s="200" t="s">
        <v>4</v>
      </c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2"/>
    </row>
    <row r="9" spans="1:21" ht="15" customHeight="1" x14ac:dyDescent="0.25">
      <c r="A9" s="155" t="s">
        <v>5</v>
      </c>
      <c r="B9" s="165"/>
      <c r="C9" s="203"/>
      <c r="D9" s="156"/>
      <c r="E9" s="9"/>
      <c r="F9" s="10"/>
      <c r="G9" s="167" t="s">
        <v>6</v>
      </c>
      <c r="H9" s="156"/>
      <c r="I9" s="158"/>
      <c r="J9" s="158"/>
      <c r="K9" s="158"/>
      <c r="L9" s="166"/>
      <c r="M9" s="168" t="s">
        <v>7</v>
      </c>
      <c r="N9" s="169"/>
      <c r="O9" s="204"/>
      <c r="P9" s="167"/>
      <c r="Q9" s="156"/>
      <c r="R9" s="11"/>
      <c r="S9" s="12"/>
    </row>
    <row r="10" spans="1:21" ht="15" customHeight="1" x14ac:dyDescent="0.25">
      <c r="A10" s="155" t="s">
        <v>8</v>
      </c>
      <c r="B10" s="156"/>
      <c r="C10" s="156"/>
      <c r="D10" s="156"/>
      <c r="E10" s="156"/>
      <c r="F10" s="156"/>
      <c r="G10" s="165"/>
      <c r="H10" s="167" t="s">
        <v>9</v>
      </c>
      <c r="I10" s="156"/>
      <c r="J10" s="156" t="s">
        <v>10</v>
      </c>
      <c r="K10" s="156"/>
      <c r="L10" s="156"/>
      <c r="M10" s="13"/>
      <c r="N10" s="13"/>
      <c r="O10" s="9"/>
      <c r="P10" s="9"/>
      <c r="Q10" s="9"/>
      <c r="R10" s="9"/>
      <c r="S10" s="14"/>
    </row>
    <row r="11" spans="1:21" ht="15" customHeight="1" x14ac:dyDescent="0.25">
      <c r="A11" s="155" t="s">
        <v>11</v>
      </c>
      <c r="B11" s="156"/>
      <c r="C11" s="158"/>
      <c r="D11" s="158"/>
      <c r="E11" s="158"/>
      <c r="F11" s="166"/>
      <c r="G11" s="167" t="s">
        <v>12</v>
      </c>
      <c r="H11" s="156"/>
      <c r="I11" s="158"/>
      <c r="J11" s="158"/>
      <c r="K11" s="158"/>
      <c r="L11" s="166"/>
      <c r="M11" s="171" t="s">
        <v>13</v>
      </c>
      <c r="N11" s="172"/>
      <c r="O11" s="156" t="s">
        <v>14</v>
      </c>
      <c r="P11" s="156"/>
      <c r="Q11" s="156"/>
      <c r="R11" s="156"/>
      <c r="S11" s="163"/>
    </row>
    <row r="12" spans="1:21" ht="15" customHeight="1" x14ac:dyDescent="0.25">
      <c r="A12" s="155" t="s">
        <v>15</v>
      </c>
      <c r="B12" s="156"/>
      <c r="C12" s="156"/>
      <c r="D12" s="164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63"/>
    </row>
    <row r="13" spans="1:21" ht="15" customHeight="1" x14ac:dyDescent="0.25">
      <c r="A13" s="15" t="s">
        <v>16</v>
      </c>
      <c r="B13" s="156"/>
      <c r="C13" s="156"/>
      <c r="D13" s="156"/>
      <c r="E13" s="156"/>
      <c r="F13" s="156"/>
      <c r="G13" s="165"/>
      <c r="H13" s="16" t="s">
        <v>17</v>
      </c>
      <c r="I13" s="16"/>
      <c r="J13" s="16"/>
      <c r="K13" s="16"/>
      <c r="L13" s="16"/>
      <c r="M13" s="17"/>
      <c r="N13" s="9" t="s">
        <v>18</v>
      </c>
      <c r="O13" s="158"/>
      <c r="P13" s="158"/>
      <c r="Q13" s="166"/>
      <c r="R13" s="18" t="s">
        <v>19</v>
      </c>
      <c r="S13" s="14"/>
    </row>
    <row r="14" spans="1:21" ht="15" customHeight="1" x14ac:dyDescent="0.25">
      <c r="A14" s="155" t="s">
        <v>20</v>
      </c>
      <c r="B14" s="156"/>
      <c r="C14" s="156"/>
      <c r="D14" s="158"/>
      <c r="E14" s="158"/>
      <c r="F14" s="166"/>
      <c r="G14" s="167" t="s">
        <v>21</v>
      </c>
      <c r="H14" s="156"/>
      <c r="I14" s="156"/>
      <c r="J14" s="156"/>
      <c r="K14" s="156" t="s">
        <v>14</v>
      </c>
      <c r="L14" s="156"/>
      <c r="M14" s="165"/>
      <c r="N14" s="168" t="s">
        <v>22</v>
      </c>
      <c r="O14" s="169"/>
      <c r="P14" s="169"/>
      <c r="Q14" s="169" t="s">
        <v>14</v>
      </c>
      <c r="R14" s="169"/>
      <c r="S14" s="170"/>
    </row>
    <row r="15" spans="1:21" ht="15" customHeight="1" x14ac:dyDescent="0.25">
      <c r="A15" s="155" t="s">
        <v>23</v>
      </c>
      <c r="B15" s="156"/>
      <c r="C15" s="156"/>
      <c r="D15" s="19" t="s">
        <v>24</v>
      </c>
      <c r="E15" s="156" t="s">
        <v>25</v>
      </c>
      <c r="F15" s="156"/>
      <c r="G15" s="8" t="s">
        <v>26</v>
      </c>
      <c r="H15" s="156" t="s">
        <v>27</v>
      </c>
      <c r="I15" s="156"/>
      <c r="J15" s="19" t="s">
        <v>28</v>
      </c>
      <c r="K15" s="157" t="s">
        <v>29</v>
      </c>
      <c r="L15" s="157"/>
      <c r="M15" s="13" t="s">
        <v>30</v>
      </c>
      <c r="N15" s="158" t="s">
        <v>31</v>
      </c>
      <c r="O15" s="158"/>
      <c r="P15" s="158"/>
      <c r="Q15" s="159"/>
      <c r="R15" s="159"/>
      <c r="S15" s="160"/>
    </row>
    <row r="16" spans="1:21" ht="15" customHeight="1" x14ac:dyDescent="0.25">
      <c r="A16" s="155" t="s">
        <v>32</v>
      </c>
      <c r="B16" s="156"/>
      <c r="C16" s="19" t="s">
        <v>33</v>
      </c>
      <c r="D16" s="13" t="s">
        <v>34</v>
      </c>
      <c r="E16" s="19" t="s">
        <v>35</v>
      </c>
      <c r="F16" s="13" t="s">
        <v>36</v>
      </c>
      <c r="G16" s="19" t="s">
        <v>35</v>
      </c>
      <c r="H16" s="13" t="s">
        <v>37</v>
      </c>
      <c r="I16" s="19" t="s">
        <v>35</v>
      </c>
      <c r="J16" s="13" t="s">
        <v>38</v>
      </c>
      <c r="K16" s="19" t="s">
        <v>35</v>
      </c>
      <c r="L16" s="13" t="s">
        <v>39</v>
      </c>
      <c r="M16" s="13"/>
      <c r="N16" s="13" t="s">
        <v>30</v>
      </c>
      <c r="O16" s="158" t="s">
        <v>31</v>
      </c>
      <c r="P16" s="158"/>
      <c r="Q16" s="158"/>
      <c r="R16" s="13"/>
      <c r="S16" s="20"/>
    </row>
    <row r="17" spans="1:19" ht="15" customHeight="1" x14ac:dyDescent="0.25">
      <c r="A17" s="161" t="s">
        <v>40</v>
      </c>
      <c r="B17" s="162"/>
      <c r="C17" s="19" t="s">
        <v>35</v>
      </c>
      <c r="D17" s="13" t="s">
        <v>39</v>
      </c>
      <c r="E17" s="21"/>
      <c r="F17" s="19" t="s">
        <v>41</v>
      </c>
      <c r="G17" s="13" t="s">
        <v>42</v>
      </c>
      <c r="H17" s="21"/>
      <c r="I17" s="1" t="s">
        <v>35</v>
      </c>
      <c r="J17" s="157" t="s">
        <v>43</v>
      </c>
      <c r="K17" s="157"/>
      <c r="L17" s="4"/>
      <c r="M17" s="1" t="s">
        <v>44</v>
      </c>
      <c r="N17" s="3" t="s">
        <v>45</v>
      </c>
      <c r="O17" s="21"/>
      <c r="P17" s="13" t="s">
        <v>46</v>
      </c>
      <c r="Q17" s="156" t="s">
        <v>31</v>
      </c>
      <c r="R17" s="156"/>
      <c r="S17" s="163"/>
    </row>
    <row r="18" spans="1:19" ht="15" customHeight="1" x14ac:dyDescent="0.25">
      <c r="A18" s="22"/>
      <c r="B18" s="23"/>
      <c r="C18" s="24"/>
      <c r="D18" s="25"/>
      <c r="F18" s="24"/>
      <c r="G18" s="25"/>
      <c r="I18" s="26"/>
      <c r="J18" s="27"/>
      <c r="K18" s="27"/>
      <c r="L18" s="28"/>
      <c r="M18" s="26"/>
      <c r="N18" s="29"/>
      <c r="P18" s="25"/>
      <c r="Q18" s="30"/>
      <c r="R18" s="30"/>
      <c r="S18" s="31"/>
    </row>
    <row r="19" spans="1:19" ht="16.149999999999999" customHeight="1" x14ac:dyDescent="0.25">
      <c r="A19" s="88" t="s">
        <v>47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90"/>
    </row>
    <row r="20" spans="1:19" ht="15" customHeight="1" x14ac:dyDescent="0.25">
      <c r="A20" s="138" t="s">
        <v>48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40"/>
    </row>
    <row r="21" spans="1:19" ht="15" customHeight="1" x14ac:dyDescent="0.25">
      <c r="A21" s="121" t="s">
        <v>49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3"/>
    </row>
    <row r="22" spans="1:19" ht="30.6" customHeight="1" x14ac:dyDescent="0.25">
      <c r="A22" s="32" t="s">
        <v>50</v>
      </c>
      <c r="B22" s="33" t="s">
        <v>51</v>
      </c>
      <c r="C22" s="33" t="s">
        <v>52</v>
      </c>
      <c r="D22" s="33" t="s">
        <v>53</v>
      </c>
      <c r="E22" s="141" t="s">
        <v>54</v>
      </c>
      <c r="F22" s="142"/>
      <c r="G22" s="33" t="s">
        <v>55</v>
      </c>
      <c r="H22" s="33" t="s">
        <v>56</v>
      </c>
      <c r="I22" s="33" t="s">
        <v>57</v>
      </c>
      <c r="J22" s="33" t="s">
        <v>58</v>
      </c>
      <c r="K22" s="33" t="s">
        <v>59</v>
      </c>
      <c r="L22" s="33" t="s">
        <v>60</v>
      </c>
      <c r="M22" s="33" t="s">
        <v>61</v>
      </c>
      <c r="N22" s="33" t="s">
        <v>62</v>
      </c>
      <c r="O22" s="33" t="s">
        <v>63</v>
      </c>
      <c r="P22" s="33" t="s">
        <v>64</v>
      </c>
      <c r="Q22" s="33" t="s">
        <v>65</v>
      </c>
      <c r="R22" s="141" t="s">
        <v>66</v>
      </c>
      <c r="S22" s="143"/>
    </row>
    <row r="23" spans="1:19" ht="15.95" customHeight="1" x14ac:dyDescent="0.25">
      <c r="A23" s="34"/>
      <c r="B23" s="34"/>
      <c r="C23" s="34"/>
      <c r="D23" s="35"/>
      <c r="E23" s="36"/>
      <c r="F23" s="37"/>
      <c r="G23" s="34"/>
      <c r="H23" s="34"/>
      <c r="I23" s="38"/>
      <c r="J23" s="38"/>
      <c r="K23" s="38"/>
      <c r="L23" s="35"/>
      <c r="M23" s="35"/>
      <c r="N23" s="35"/>
      <c r="O23" s="38"/>
      <c r="P23" s="35"/>
      <c r="Q23" s="39"/>
      <c r="R23" s="40"/>
      <c r="S23" s="41"/>
    </row>
    <row r="24" spans="1:19" ht="15.95" customHeight="1" x14ac:dyDescent="0.25">
      <c r="A24" s="34"/>
      <c r="B24" s="34"/>
      <c r="C24" s="34"/>
      <c r="D24" s="35"/>
      <c r="E24" s="36"/>
      <c r="F24" s="37"/>
      <c r="G24" s="34"/>
      <c r="H24" s="34"/>
      <c r="I24" s="38"/>
      <c r="J24" s="38"/>
      <c r="K24" s="38"/>
      <c r="L24" s="35"/>
      <c r="M24" s="35"/>
      <c r="N24" s="35"/>
      <c r="O24" s="38"/>
      <c r="P24" s="35"/>
      <c r="Q24" s="39"/>
      <c r="R24" s="40"/>
      <c r="S24" s="41"/>
    </row>
    <row r="25" spans="1:19" ht="15.95" customHeight="1" x14ac:dyDescent="0.25">
      <c r="A25" s="34"/>
      <c r="B25" s="34"/>
      <c r="C25" s="34"/>
      <c r="D25" s="35"/>
      <c r="E25" s="36"/>
      <c r="F25" s="37"/>
      <c r="G25" s="34"/>
      <c r="H25" s="34"/>
      <c r="I25" s="38"/>
      <c r="J25" s="38"/>
      <c r="K25" s="38"/>
      <c r="L25" s="35"/>
      <c r="M25" s="35"/>
      <c r="N25" s="35"/>
      <c r="O25" s="38"/>
      <c r="P25" s="35"/>
      <c r="Q25" s="39"/>
      <c r="R25" s="40"/>
      <c r="S25" s="41"/>
    </row>
    <row r="26" spans="1:19" ht="15.95" customHeight="1" x14ac:dyDescent="0.25">
      <c r="A26" s="34"/>
      <c r="B26" s="34"/>
      <c r="C26" s="34"/>
      <c r="D26" s="35"/>
      <c r="E26" s="36"/>
      <c r="F26" s="37"/>
      <c r="G26" s="34"/>
      <c r="H26" s="34"/>
      <c r="I26" s="38"/>
      <c r="J26" s="38"/>
      <c r="K26" s="38"/>
      <c r="L26" s="35"/>
      <c r="M26" s="35"/>
      <c r="N26" s="35"/>
      <c r="O26" s="38"/>
      <c r="P26" s="35"/>
      <c r="Q26" s="39"/>
      <c r="R26" s="40"/>
      <c r="S26" s="41"/>
    </row>
    <row r="27" spans="1:19" ht="15.95" customHeight="1" x14ac:dyDescent="0.25">
      <c r="A27" s="34"/>
      <c r="B27" s="34"/>
      <c r="C27" s="34"/>
      <c r="D27" s="35"/>
      <c r="E27" s="36"/>
      <c r="F27" s="37"/>
      <c r="G27" s="34"/>
      <c r="H27" s="34"/>
      <c r="I27" s="38"/>
      <c r="J27" s="34"/>
      <c r="K27" s="38"/>
      <c r="L27" s="35"/>
      <c r="M27" s="35"/>
      <c r="N27" s="35"/>
      <c r="O27" s="38"/>
      <c r="P27" s="35"/>
      <c r="Q27" s="39"/>
      <c r="R27" s="40"/>
      <c r="S27" s="41"/>
    </row>
    <row r="28" spans="1:19" ht="15.95" customHeight="1" x14ac:dyDescent="0.25">
      <c r="A28" s="34"/>
      <c r="B28" s="34"/>
      <c r="C28" s="34"/>
      <c r="D28" s="35"/>
      <c r="E28" s="36"/>
      <c r="F28" s="37"/>
      <c r="G28" s="34"/>
      <c r="H28" s="34"/>
      <c r="I28" s="38"/>
      <c r="J28" s="34"/>
      <c r="K28" s="38"/>
      <c r="L28" s="35"/>
      <c r="M28" s="35"/>
      <c r="N28" s="35"/>
      <c r="O28" s="38"/>
      <c r="P28" s="35"/>
      <c r="Q28" s="39"/>
      <c r="R28" s="40"/>
      <c r="S28" s="41"/>
    </row>
    <row r="29" spans="1:19" ht="15.95" customHeight="1" x14ac:dyDescent="0.25">
      <c r="A29" s="34"/>
      <c r="B29" s="34"/>
      <c r="C29" s="34"/>
      <c r="D29" s="35"/>
      <c r="E29" s="36"/>
      <c r="F29" s="37"/>
      <c r="G29" s="34"/>
      <c r="H29" s="34"/>
      <c r="I29" s="38"/>
      <c r="J29" s="35"/>
      <c r="K29" s="38"/>
      <c r="L29" s="35"/>
      <c r="M29" s="35"/>
      <c r="N29" s="35"/>
      <c r="O29" s="38"/>
      <c r="P29" s="35"/>
      <c r="Q29" s="39"/>
      <c r="R29" s="40"/>
      <c r="S29" s="41"/>
    </row>
    <row r="30" spans="1:19" ht="15.95" customHeight="1" x14ac:dyDescent="0.25">
      <c r="A30" s="34"/>
      <c r="B30" s="34"/>
      <c r="C30" s="34"/>
      <c r="D30" s="35"/>
      <c r="E30" s="36"/>
      <c r="F30" s="37"/>
      <c r="G30" s="34"/>
      <c r="H30" s="34"/>
      <c r="I30" s="38"/>
      <c r="J30" s="35"/>
      <c r="K30" s="38"/>
      <c r="L30" s="35"/>
      <c r="M30" s="35"/>
      <c r="N30" s="35"/>
      <c r="O30" s="38"/>
      <c r="P30" s="35"/>
      <c r="Q30" s="39"/>
      <c r="R30" s="40"/>
      <c r="S30" s="41"/>
    </row>
    <row r="31" spans="1:19" ht="15.95" customHeight="1" x14ac:dyDescent="0.25">
      <c r="A31" s="34"/>
      <c r="B31" s="34"/>
      <c r="C31" s="34"/>
      <c r="D31" s="35"/>
      <c r="E31" s="42"/>
      <c r="F31" s="43"/>
      <c r="G31" s="34"/>
      <c r="H31" s="34"/>
      <c r="I31" s="38"/>
      <c r="J31" s="44"/>
      <c r="K31" s="38"/>
      <c r="L31" s="35"/>
      <c r="M31" s="35"/>
      <c r="N31" s="35"/>
      <c r="O31" s="35"/>
      <c r="P31" s="35"/>
      <c r="Q31" s="39"/>
      <c r="R31" s="40"/>
      <c r="S31" s="41"/>
    </row>
    <row r="32" spans="1:19" ht="15.95" customHeight="1" x14ac:dyDescent="0.25">
      <c r="A32" s="34"/>
      <c r="B32" s="34"/>
      <c r="C32" s="34"/>
      <c r="D32" s="35"/>
      <c r="E32" s="42"/>
      <c r="F32" s="43"/>
      <c r="G32" s="34"/>
      <c r="H32" s="34"/>
      <c r="I32" s="38"/>
      <c r="J32" s="35"/>
      <c r="K32" s="38"/>
      <c r="L32" s="35"/>
      <c r="M32" s="35"/>
      <c r="N32" s="35"/>
      <c r="O32" s="38"/>
      <c r="P32" s="35"/>
      <c r="Q32" s="39"/>
      <c r="R32" s="40"/>
      <c r="S32" s="41"/>
    </row>
    <row r="33" spans="1:20" ht="15.95" customHeight="1" x14ac:dyDescent="0.25">
      <c r="A33" s="34"/>
      <c r="B33" s="34"/>
      <c r="C33" s="34"/>
      <c r="D33" s="35"/>
      <c r="E33" s="42"/>
      <c r="F33" s="43"/>
      <c r="G33" s="34"/>
      <c r="H33" s="34"/>
      <c r="I33" s="38"/>
      <c r="J33" s="35"/>
      <c r="K33" s="38"/>
      <c r="L33" s="35"/>
      <c r="M33" s="35"/>
      <c r="N33" s="35"/>
      <c r="O33" s="38"/>
      <c r="P33" s="35"/>
      <c r="Q33" s="39"/>
      <c r="R33" s="40"/>
      <c r="S33" s="41"/>
    </row>
    <row r="34" spans="1:20" ht="15" customHeight="1" x14ac:dyDescent="0.25">
      <c r="A34" s="144" t="s">
        <v>67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45"/>
      <c r="Q34" s="45"/>
      <c r="R34" s="45"/>
      <c r="S34" s="46"/>
      <c r="T34" s="47"/>
    </row>
    <row r="35" spans="1:20" ht="15" customHeight="1" x14ac:dyDescent="0.25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S35" s="48"/>
      <c r="T35" s="47"/>
    </row>
    <row r="36" spans="1:20" ht="15" customHeight="1" x14ac:dyDescent="0.25">
      <c r="A36" s="49"/>
      <c r="B36" s="50"/>
      <c r="C36" s="50"/>
      <c r="D36" s="50"/>
      <c r="E36" s="50"/>
      <c r="F36" s="50"/>
      <c r="G36" s="148" t="s">
        <v>68</v>
      </c>
      <c r="H36" s="149"/>
      <c r="I36" s="149"/>
      <c r="J36" s="150"/>
      <c r="K36" s="148" t="s">
        <v>69</v>
      </c>
      <c r="L36" s="149"/>
      <c r="M36" s="149"/>
      <c r="N36" s="150"/>
      <c r="O36" s="47"/>
      <c r="P36" s="47"/>
      <c r="Q36" s="47"/>
      <c r="R36" s="47"/>
      <c r="S36" s="51"/>
      <c r="T36" s="47"/>
    </row>
    <row r="37" spans="1:20" ht="15" customHeight="1" x14ac:dyDescent="0.25">
      <c r="A37" s="151" t="s">
        <v>70</v>
      </c>
      <c r="B37" s="112"/>
      <c r="C37" s="112"/>
      <c r="D37" s="112"/>
      <c r="E37" s="112"/>
      <c r="F37" s="113"/>
      <c r="G37" s="118">
        <f>SUM(O23:O29,O31:O33)</f>
        <v>0</v>
      </c>
      <c r="H37" s="119"/>
      <c r="I37" s="119"/>
      <c r="J37" s="120"/>
      <c r="K37" s="152">
        <f>SUM(Q23:Q28)</f>
        <v>0</v>
      </c>
      <c r="L37" s="153"/>
      <c r="M37" s="153"/>
      <c r="N37" s="154"/>
      <c r="O37" s="47"/>
      <c r="P37" s="47"/>
      <c r="Q37" s="47"/>
      <c r="R37" s="47"/>
      <c r="S37" s="51"/>
    </row>
    <row r="38" spans="1:20" ht="15" customHeight="1" x14ac:dyDescent="0.25">
      <c r="A38" s="111" t="s">
        <v>71</v>
      </c>
      <c r="B38" s="112"/>
      <c r="C38" s="112"/>
      <c r="D38" s="112"/>
      <c r="E38" s="112"/>
      <c r="F38" s="113"/>
      <c r="G38" s="118">
        <f>4-G37</f>
        <v>4</v>
      </c>
      <c r="H38" s="119"/>
      <c r="I38" s="119"/>
      <c r="J38" s="120"/>
      <c r="K38" s="118">
        <f>4-K37</f>
        <v>4</v>
      </c>
      <c r="L38" s="119"/>
      <c r="M38" s="119"/>
      <c r="N38" s="120"/>
      <c r="O38" s="47"/>
      <c r="P38" s="47"/>
      <c r="Q38" s="47"/>
      <c r="R38" s="47"/>
      <c r="S38" s="51"/>
    </row>
    <row r="39" spans="1:20" ht="15" customHeight="1" x14ac:dyDescent="0.25">
      <c r="A39" s="132" t="s">
        <v>72</v>
      </c>
      <c r="B39" s="133"/>
      <c r="C39" s="133"/>
      <c r="D39" s="133"/>
      <c r="E39" s="133"/>
      <c r="F39" s="134"/>
      <c r="G39" s="118">
        <f>G37</f>
        <v>0</v>
      </c>
      <c r="H39" s="119"/>
      <c r="I39" s="119"/>
      <c r="J39" s="120"/>
      <c r="K39" s="118">
        <f>K37</f>
        <v>0</v>
      </c>
      <c r="L39" s="119"/>
      <c r="M39" s="119"/>
      <c r="N39" s="120"/>
      <c r="O39" s="47"/>
      <c r="P39" s="47"/>
      <c r="Q39" s="47"/>
      <c r="R39" s="47"/>
      <c r="S39" s="51"/>
    </row>
    <row r="40" spans="1:20" ht="15" customHeight="1" x14ac:dyDescent="0.25">
      <c r="A40" s="135" t="s">
        <v>73</v>
      </c>
      <c r="B40" s="136"/>
      <c r="C40" s="136"/>
      <c r="D40" s="136"/>
      <c r="E40" s="136"/>
      <c r="F40" s="137"/>
      <c r="G40" s="114" t="s">
        <v>14</v>
      </c>
      <c r="H40" s="98"/>
      <c r="I40" s="98"/>
      <c r="J40" s="99"/>
      <c r="K40" s="114" t="s">
        <v>14</v>
      </c>
      <c r="L40" s="98"/>
      <c r="M40" s="98"/>
      <c r="N40" s="99"/>
      <c r="O40" s="47"/>
      <c r="P40" s="47"/>
      <c r="Q40" s="47"/>
      <c r="R40" s="47"/>
      <c r="S40" s="51"/>
    </row>
    <row r="41" spans="1:20" ht="15" customHeight="1" x14ac:dyDescent="0.25">
      <c r="A41" s="111" t="s">
        <v>74</v>
      </c>
      <c r="B41" s="112"/>
      <c r="C41" s="112"/>
      <c r="D41" s="112"/>
      <c r="E41" s="112"/>
      <c r="F41" s="113"/>
      <c r="G41" s="114" t="s">
        <v>14</v>
      </c>
      <c r="H41" s="98"/>
      <c r="I41" s="98"/>
      <c r="J41" s="99"/>
      <c r="K41" s="114" t="s">
        <v>14</v>
      </c>
      <c r="L41" s="98"/>
      <c r="M41" s="98"/>
      <c r="N41" s="99"/>
      <c r="O41" s="47"/>
      <c r="P41" s="47"/>
      <c r="Q41" s="47"/>
      <c r="R41" s="47"/>
      <c r="S41" s="51"/>
    </row>
    <row r="42" spans="1:20" ht="15" customHeight="1" x14ac:dyDescent="0.25">
      <c r="A42" s="115" t="s">
        <v>75</v>
      </c>
      <c r="B42" s="116"/>
      <c r="C42" s="116"/>
      <c r="D42" s="116"/>
      <c r="E42" s="116"/>
      <c r="F42" s="117"/>
      <c r="G42" s="118">
        <f>G37</f>
        <v>0</v>
      </c>
      <c r="H42" s="119"/>
      <c r="I42" s="119"/>
      <c r="J42" s="120"/>
      <c r="K42" s="118">
        <f>K37</f>
        <v>0</v>
      </c>
      <c r="L42" s="98"/>
      <c r="M42" s="98"/>
      <c r="N42" s="99"/>
      <c r="O42" s="47"/>
      <c r="P42" s="47"/>
      <c r="Q42" s="47"/>
      <c r="R42" s="47"/>
      <c r="S42" s="52"/>
    </row>
    <row r="43" spans="1:20" ht="15" customHeight="1" x14ac:dyDescent="0.25">
      <c r="A43" s="53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4"/>
    </row>
    <row r="44" spans="1:20" ht="15" customHeight="1" x14ac:dyDescent="0.25">
      <c r="A44" s="121" t="s">
        <v>76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3"/>
    </row>
    <row r="45" spans="1:20" ht="21.95" customHeight="1" x14ac:dyDescent="0.25">
      <c r="A45" s="124" t="s">
        <v>51</v>
      </c>
      <c r="B45" s="125"/>
      <c r="C45" s="126"/>
      <c r="D45" s="127" t="s">
        <v>53</v>
      </c>
      <c r="E45" s="128"/>
      <c r="F45" s="129"/>
      <c r="G45" s="127" t="s">
        <v>54</v>
      </c>
      <c r="H45" s="128"/>
      <c r="I45" s="129"/>
      <c r="J45" s="55" t="s">
        <v>55</v>
      </c>
      <c r="K45" s="130" t="s">
        <v>77</v>
      </c>
      <c r="L45" s="125"/>
      <c r="M45" s="126"/>
      <c r="N45" s="130" t="s">
        <v>78</v>
      </c>
      <c r="O45" s="126"/>
      <c r="P45" s="127" t="s">
        <v>66</v>
      </c>
      <c r="Q45" s="128"/>
      <c r="R45" s="128"/>
      <c r="S45" s="131"/>
    </row>
    <row r="46" spans="1:20" ht="15" customHeight="1" x14ac:dyDescent="0.25">
      <c r="A46" s="106" t="s">
        <v>79</v>
      </c>
      <c r="B46" s="107"/>
      <c r="C46" s="108"/>
      <c r="D46" s="109" t="s">
        <v>14</v>
      </c>
      <c r="E46" s="107"/>
      <c r="F46" s="108"/>
      <c r="G46" s="109" t="s">
        <v>80</v>
      </c>
      <c r="H46" s="107"/>
      <c r="I46" s="108"/>
      <c r="J46" s="56">
        <v>1</v>
      </c>
      <c r="K46" s="109"/>
      <c r="L46" s="107"/>
      <c r="M46" s="108"/>
      <c r="N46" s="109" t="s">
        <v>14</v>
      </c>
      <c r="O46" s="108"/>
      <c r="P46" s="109" t="s">
        <v>80</v>
      </c>
      <c r="Q46" s="107"/>
      <c r="R46" s="107"/>
      <c r="S46" s="110"/>
    </row>
    <row r="47" spans="1:20" ht="15" customHeight="1" x14ac:dyDescent="0.25">
      <c r="A47" s="106" t="s">
        <v>79</v>
      </c>
      <c r="B47" s="107"/>
      <c r="C47" s="108"/>
      <c r="D47" s="109" t="s">
        <v>14</v>
      </c>
      <c r="E47" s="107"/>
      <c r="F47" s="108"/>
      <c r="G47" s="109" t="s">
        <v>81</v>
      </c>
      <c r="H47" s="107"/>
      <c r="I47" s="108"/>
      <c r="J47" s="56">
        <v>1</v>
      </c>
      <c r="K47" s="109" t="s">
        <v>82</v>
      </c>
      <c r="L47" s="107"/>
      <c r="M47" s="108"/>
      <c r="N47" s="109" t="s">
        <v>14</v>
      </c>
      <c r="O47" s="108"/>
      <c r="P47" s="109" t="s">
        <v>81</v>
      </c>
      <c r="Q47" s="107"/>
      <c r="R47" s="107"/>
      <c r="S47" s="110"/>
    </row>
    <row r="48" spans="1:20" ht="15" customHeight="1" x14ac:dyDescent="0.25">
      <c r="A48" s="97" t="s">
        <v>83</v>
      </c>
      <c r="B48" s="98"/>
      <c r="C48" s="98"/>
      <c r="D48" s="98"/>
      <c r="E48" s="98"/>
      <c r="F48" s="98"/>
      <c r="G48" s="98"/>
      <c r="H48" s="98"/>
      <c r="I48" s="98"/>
      <c r="J48" s="99"/>
      <c r="K48" s="47"/>
      <c r="L48" s="47"/>
      <c r="M48" s="47"/>
      <c r="N48" s="47"/>
      <c r="O48" s="47"/>
      <c r="P48" s="47"/>
      <c r="Q48" s="47"/>
      <c r="R48" s="47"/>
      <c r="S48" s="52"/>
    </row>
    <row r="49" spans="1:26" ht="15" customHeight="1" x14ac:dyDescent="0.25">
      <c r="A49" s="79" t="s">
        <v>84</v>
      </c>
      <c r="B49" s="80"/>
      <c r="C49" s="80"/>
      <c r="D49" s="81"/>
      <c r="E49" s="82"/>
      <c r="F49" s="83"/>
      <c r="G49" s="83"/>
      <c r="H49" s="83"/>
      <c r="I49" s="83"/>
      <c r="J49" s="84"/>
      <c r="S49" s="57"/>
    </row>
    <row r="50" spans="1:26" ht="15" customHeight="1" x14ac:dyDescent="0.25">
      <c r="A50" s="79" t="s">
        <v>85</v>
      </c>
      <c r="B50" s="80"/>
      <c r="C50" s="80"/>
      <c r="D50" s="81"/>
      <c r="E50" s="82">
        <f>10-E49</f>
        <v>10</v>
      </c>
      <c r="F50" s="83"/>
      <c r="G50" s="83"/>
      <c r="H50" s="83"/>
      <c r="I50" s="83"/>
      <c r="J50" s="84"/>
      <c r="S50" s="57"/>
    </row>
    <row r="51" spans="1:26" ht="15" customHeight="1" x14ac:dyDescent="0.25">
      <c r="A51" s="100" t="s">
        <v>86</v>
      </c>
      <c r="B51" s="101"/>
      <c r="C51" s="101"/>
      <c r="D51" s="102"/>
      <c r="E51" s="82">
        <f>E49</f>
        <v>0</v>
      </c>
      <c r="F51" s="83"/>
      <c r="G51" s="83"/>
      <c r="H51" s="83"/>
      <c r="I51" s="83"/>
      <c r="J51" s="84"/>
      <c r="S51" s="57"/>
    </row>
    <row r="52" spans="1:26" ht="15" customHeight="1" x14ac:dyDescent="0.25">
      <c r="A52" s="103" t="s">
        <v>87</v>
      </c>
      <c r="B52" s="104"/>
      <c r="C52" s="104"/>
      <c r="D52" s="105"/>
      <c r="E52" s="82" t="s">
        <v>14</v>
      </c>
      <c r="F52" s="83"/>
      <c r="G52" s="83"/>
      <c r="H52" s="83"/>
      <c r="I52" s="83"/>
      <c r="J52" s="84"/>
      <c r="S52" s="57"/>
    </row>
    <row r="53" spans="1:26" ht="15" customHeight="1" x14ac:dyDescent="0.25">
      <c r="A53" s="79" t="s">
        <v>88</v>
      </c>
      <c r="B53" s="80"/>
      <c r="C53" s="80"/>
      <c r="D53" s="81"/>
      <c r="E53" s="82" t="s">
        <v>14</v>
      </c>
      <c r="F53" s="83"/>
      <c r="G53" s="83"/>
      <c r="H53" s="83"/>
      <c r="I53" s="83"/>
      <c r="J53" s="84"/>
      <c r="S53" s="57"/>
    </row>
    <row r="54" spans="1:26" ht="15" customHeight="1" x14ac:dyDescent="0.25">
      <c r="A54" s="85" t="s">
        <v>89</v>
      </c>
      <c r="B54" s="86"/>
      <c r="C54" s="86"/>
      <c r="D54" s="87"/>
      <c r="E54" s="82">
        <f>E49</f>
        <v>0</v>
      </c>
      <c r="F54" s="83"/>
      <c r="G54" s="83"/>
      <c r="H54" s="83"/>
      <c r="I54" s="83"/>
      <c r="J54" s="84"/>
      <c r="S54" s="57"/>
    </row>
    <row r="55" spans="1:26" ht="15" customHeight="1" x14ac:dyDescent="0.25">
      <c r="A55" s="58"/>
      <c r="S55" s="57"/>
    </row>
    <row r="56" spans="1:26" ht="16.149999999999999" customHeight="1" x14ac:dyDescent="0.25">
      <c r="A56" s="88" t="s">
        <v>66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90"/>
    </row>
    <row r="57" spans="1:26" ht="15" hidden="1" customHeight="1" x14ac:dyDescent="0.25">
      <c r="A57" s="58"/>
      <c r="S57" s="57"/>
    </row>
    <row r="58" spans="1:26" ht="28.5" customHeight="1" x14ac:dyDescent="0.25">
      <c r="A58" s="91" t="s">
        <v>90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3"/>
    </row>
    <row r="59" spans="1:26" ht="15" hidden="1" customHeight="1" x14ac:dyDescent="0.25">
      <c r="A59" s="58"/>
      <c r="S59" s="57"/>
    </row>
    <row r="60" spans="1:26" ht="15" hidden="1" customHeight="1" x14ac:dyDescent="0.25">
      <c r="A60" s="58"/>
      <c r="S60" s="57"/>
    </row>
    <row r="61" spans="1:26" ht="16.149999999999999" customHeight="1" x14ac:dyDescent="0.25">
      <c r="A61" s="88" t="s">
        <v>91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90"/>
    </row>
    <row r="62" spans="1:26" ht="15" customHeight="1" x14ac:dyDescent="0.25">
      <c r="A62" s="94" t="s">
        <v>92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6"/>
      <c r="W62" s="59"/>
      <c r="X62" s="59"/>
      <c r="Y62" s="59"/>
      <c r="Z62" s="60"/>
    </row>
    <row r="63" spans="1:26" ht="24.75" customHeight="1" x14ac:dyDescent="0.25">
      <c r="A63" s="61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62"/>
      <c r="W63" s="59"/>
      <c r="X63" s="59"/>
      <c r="Y63" s="59"/>
      <c r="Z63" s="60"/>
    </row>
    <row r="64" spans="1:26" ht="15" hidden="1" customHeight="1" x14ac:dyDescent="0.25">
      <c r="A64" s="63"/>
      <c r="S64" s="57"/>
    </row>
    <row r="65" spans="1:19" ht="27.75" customHeight="1" x14ac:dyDescent="0.25">
      <c r="A65" s="58"/>
      <c r="J65" s="73" t="s">
        <v>93</v>
      </c>
      <c r="K65" s="73"/>
      <c r="L65" s="73"/>
      <c r="M65" s="73"/>
      <c r="N65" s="64"/>
      <c r="O65" s="64"/>
      <c r="S65" s="57"/>
    </row>
    <row r="66" spans="1:19" ht="15" customHeight="1" x14ac:dyDescent="0.25">
      <c r="A66" s="58"/>
      <c r="J66" s="65" t="s">
        <v>94</v>
      </c>
      <c r="K66" s="66"/>
      <c r="L66" s="66"/>
      <c r="M66" s="66"/>
      <c r="N66" s="67"/>
      <c r="O66" s="67"/>
      <c r="S66" s="57"/>
    </row>
    <row r="67" spans="1:19" ht="15" customHeight="1" x14ac:dyDescent="0.25">
      <c r="A67" s="58"/>
      <c r="J67" s="65" t="s">
        <v>95</v>
      </c>
      <c r="K67" s="66"/>
      <c r="L67" s="66"/>
      <c r="M67" s="66"/>
      <c r="N67" s="67"/>
      <c r="O67" s="67"/>
      <c r="S67" s="57"/>
    </row>
    <row r="68" spans="1:19" ht="15" customHeight="1" x14ac:dyDescent="0.25">
      <c r="A68" s="58"/>
      <c r="H68" s="67"/>
      <c r="J68" s="205" t="s">
        <v>99</v>
      </c>
      <c r="K68" s="205"/>
      <c r="L68" s="205"/>
      <c r="M68" s="67"/>
      <c r="N68" s="64"/>
      <c r="O68" s="67"/>
      <c r="P68" s="67"/>
      <c r="S68" s="57"/>
    </row>
    <row r="69" spans="1:19" ht="15" customHeight="1" x14ac:dyDescent="0.25">
      <c r="A69" s="68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54"/>
    </row>
    <row r="70" spans="1:19" ht="15" customHeight="1" x14ac:dyDescent="0.25">
      <c r="A70" s="74" t="s">
        <v>96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6"/>
    </row>
    <row r="71" spans="1:19" ht="15" hidden="1" customHeight="1" x14ac:dyDescent="0.25">
      <c r="A71" s="61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62"/>
    </row>
    <row r="72" spans="1:19" ht="24" customHeight="1" x14ac:dyDescent="0.25">
      <c r="A72" s="63"/>
      <c r="I72" s="77"/>
      <c r="J72" s="77"/>
      <c r="K72" s="77"/>
      <c r="L72" s="77"/>
      <c r="M72" s="77"/>
      <c r="S72" s="57"/>
    </row>
    <row r="73" spans="1:19" ht="28.5" customHeight="1" x14ac:dyDescent="0.25">
      <c r="A73" s="58"/>
      <c r="D73" s="73"/>
      <c r="E73" s="73"/>
      <c r="F73" s="73"/>
      <c r="G73" s="73"/>
      <c r="J73" s="73" t="s">
        <v>93</v>
      </c>
      <c r="K73" s="73"/>
      <c r="L73" s="73"/>
      <c r="M73" s="73"/>
      <c r="S73" s="57"/>
    </row>
    <row r="74" spans="1:19" ht="15" customHeight="1" x14ac:dyDescent="0.25">
      <c r="A74" s="58"/>
      <c r="D74" s="65"/>
      <c r="E74" s="66"/>
      <c r="F74" s="66"/>
      <c r="G74" s="66"/>
      <c r="J74" s="65" t="s">
        <v>97</v>
      </c>
      <c r="L74" s="65"/>
      <c r="M74" s="78"/>
      <c r="N74" s="78"/>
      <c r="O74" s="78"/>
      <c r="S74" s="57"/>
    </row>
    <row r="75" spans="1:19" ht="15" customHeight="1" x14ac:dyDescent="0.25">
      <c r="A75" s="58"/>
      <c r="D75" s="65"/>
      <c r="E75" s="66"/>
      <c r="F75" s="66"/>
      <c r="G75" s="66"/>
      <c r="J75" s="65" t="s">
        <v>95</v>
      </c>
      <c r="L75" s="65"/>
      <c r="M75" s="78"/>
      <c r="N75" s="78"/>
      <c r="O75" s="78"/>
      <c r="S75" s="57"/>
    </row>
    <row r="76" spans="1:19" ht="15" customHeight="1" x14ac:dyDescent="0.25">
      <c r="A76" s="58"/>
      <c r="D76" s="73"/>
      <c r="E76" s="73"/>
      <c r="F76" s="73"/>
      <c r="G76" s="67"/>
      <c r="H76" s="67"/>
      <c r="J76" s="205" t="s">
        <v>98</v>
      </c>
      <c r="K76" s="205"/>
      <c r="L76" s="205"/>
      <c r="M76" s="65"/>
      <c r="N76" s="65"/>
      <c r="O76" s="78"/>
      <c r="P76" s="78"/>
      <c r="S76" s="57"/>
    </row>
    <row r="77" spans="1:19" ht="15" customHeight="1" thickBot="1" x14ac:dyDescent="0.3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2"/>
    </row>
  </sheetData>
  <mergeCells count="118">
    <mergeCell ref="A2:C5"/>
    <mergeCell ref="D2:P5"/>
    <mergeCell ref="Q2:S5"/>
    <mergeCell ref="A6:C6"/>
    <mergeCell ref="F6:J6"/>
    <mergeCell ref="A7:C7"/>
    <mergeCell ref="F7:J7"/>
    <mergeCell ref="A8:S8"/>
    <mergeCell ref="A9:B9"/>
    <mergeCell ref="C9:D9"/>
    <mergeCell ref="G9:H9"/>
    <mergeCell ref="I9:L9"/>
    <mergeCell ref="M9:O9"/>
    <mergeCell ref="P9:Q9"/>
    <mergeCell ref="A10:C10"/>
    <mergeCell ref="D10:G10"/>
    <mergeCell ref="H10:I10"/>
    <mergeCell ref="J10:L10"/>
    <mergeCell ref="A11:B11"/>
    <mergeCell ref="C11:F11"/>
    <mergeCell ref="G11:H11"/>
    <mergeCell ref="I11:L11"/>
    <mergeCell ref="M11:N11"/>
    <mergeCell ref="O11:S11"/>
    <mergeCell ref="A12:C12"/>
    <mergeCell ref="D12:S12"/>
    <mergeCell ref="B13:G13"/>
    <mergeCell ref="O13:Q13"/>
    <mergeCell ref="A14:C14"/>
    <mergeCell ref="D14:F14"/>
    <mergeCell ref="G14:J14"/>
    <mergeCell ref="K14:M14"/>
    <mergeCell ref="N14:P14"/>
    <mergeCell ref="Q14:S14"/>
    <mergeCell ref="A15:C15"/>
    <mergeCell ref="E15:F15"/>
    <mergeCell ref="H15:I15"/>
    <mergeCell ref="K15:L15"/>
    <mergeCell ref="N15:P15"/>
    <mergeCell ref="Q15:S15"/>
    <mergeCell ref="A16:B16"/>
    <mergeCell ref="O16:Q16"/>
    <mergeCell ref="A17:B17"/>
    <mergeCell ref="J17:K17"/>
    <mergeCell ref="Q17:S17"/>
    <mergeCell ref="A19:S19"/>
    <mergeCell ref="A20:S20"/>
    <mergeCell ref="A21:S21"/>
    <mergeCell ref="E22:F22"/>
    <mergeCell ref="R22:S22"/>
    <mergeCell ref="A34:O35"/>
    <mergeCell ref="G36:J36"/>
    <mergeCell ref="K36:N36"/>
    <mergeCell ref="A37:F37"/>
    <mergeCell ref="G37:J37"/>
    <mergeCell ref="K37:N37"/>
    <mergeCell ref="A38:F38"/>
    <mergeCell ref="G38:J38"/>
    <mergeCell ref="K38:N38"/>
    <mergeCell ref="A39:F39"/>
    <mergeCell ref="G39:J39"/>
    <mergeCell ref="K39:N39"/>
    <mergeCell ref="A40:F40"/>
    <mergeCell ref="G40:J40"/>
    <mergeCell ref="K40:N40"/>
    <mergeCell ref="A41:F41"/>
    <mergeCell ref="G41:J41"/>
    <mergeCell ref="K41:N41"/>
    <mergeCell ref="A42:F42"/>
    <mergeCell ref="G42:J42"/>
    <mergeCell ref="K42:N42"/>
    <mergeCell ref="A44:S44"/>
    <mergeCell ref="A45:C45"/>
    <mergeCell ref="D45:F45"/>
    <mergeCell ref="G45:I45"/>
    <mergeCell ref="K45:M45"/>
    <mergeCell ref="N45:O45"/>
    <mergeCell ref="P45:S45"/>
    <mergeCell ref="A46:C46"/>
    <mergeCell ref="D46:F46"/>
    <mergeCell ref="G46:I46"/>
    <mergeCell ref="K46:M46"/>
    <mergeCell ref="N46:O46"/>
    <mergeCell ref="P46:S46"/>
    <mergeCell ref="A47:C47"/>
    <mergeCell ref="D47:F47"/>
    <mergeCell ref="G47:I47"/>
    <mergeCell ref="K47:M47"/>
    <mergeCell ref="N47:O47"/>
    <mergeCell ref="P47:S47"/>
    <mergeCell ref="A48:J48"/>
    <mergeCell ref="A49:D49"/>
    <mergeCell ref="E49:J49"/>
    <mergeCell ref="A50:D50"/>
    <mergeCell ref="E50:J50"/>
    <mergeCell ref="A51:D51"/>
    <mergeCell ref="E51:J51"/>
    <mergeCell ref="A52:D52"/>
    <mergeCell ref="E52:J52"/>
    <mergeCell ref="A53:D53"/>
    <mergeCell ref="E53:J53"/>
    <mergeCell ref="A54:D54"/>
    <mergeCell ref="E54:J54"/>
    <mergeCell ref="A56:S56"/>
    <mergeCell ref="A58:S58"/>
    <mergeCell ref="A61:S61"/>
    <mergeCell ref="A62:S62"/>
    <mergeCell ref="J65:M65"/>
    <mergeCell ref="J68:L68"/>
    <mergeCell ref="A70:S70"/>
    <mergeCell ref="I72:M72"/>
    <mergeCell ref="D73:G73"/>
    <mergeCell ref="J73:M73"/>
    <mergeCell ref="M74:O74"/>
    <mergeCell ref="M75:O75"/>
    <mergeCell ref="D76:F76"/>
    <mergeCell ref="J76:L76"/>
    <mergeCell ref="O76:P76"/>
  </mergeCells>
  <dataValidations count="1">
    <dataValidation type="list" allowBlank="1" showInputMessage="1" showErrorMessage="1" sqref="B23:B33" xr:uid="{00000000-0002-0000-0000-000000000000}">
      <formula1>"INSTALAÇÃO,NOVA,AMPLIAÇÃO,REMOÇÃO,"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8" scale="65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NDD</vt:lpstr>
      <vt:lpstr>NDD!Area_de_impressao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2022-11-04T21:17:02Z</dcterms:created>
  <dcterms:modified xsi:type="dcterms:W3CDTF">2026-09-30T12:27:56Z</dcterms:modified>
  <cp:category/>
  <cp:contentStatus/>
</cp:coreProperties>
</file>